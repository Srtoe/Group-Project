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mel Torres\Documents\UAGC\INT 499\"/>
    </mc:Choice>
  </mc:AlternateContent>
  <xr:revisionPtr revIDLastSave="0" documentId="8_{308E2C8D-18A7-4B58-8C66-8B43913AA2DB}" xr6:coauthVersionLast="47" xr6:coauthVersionMax="47" xr10:uidLastSave="{00000000-0000-0000-0000-000000000000}"/>
  <bookViews>
    <workbookView xWindow="-120" yWindow="-120" windowWidth="20730" windowHeight="11040" xr2:uid="{EE7CE410-C832-4110-9531-B976A1DDF262}"/>
  </bookViews>
  <sheets>
    <sheet name="Gantt Chart" sheetId="1" r:id="rId1"/>
    <sheet name="Requirements and 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3" i="1" l="1"/>
  <c r="E7" i="1"/>
  <c r="O7" i="1" l="1"/>
  <c r="F7" i="1"/>
  <c r="M7" i="1" l="1"/>
  <c r="E10" i="1"/>
  <c r="E9" i="1"/>
  <c r="E8" i="1"/>
  <c r="I7" i="1"/>
  <c r="S7" i="1"/>
  <c r="H7" i="1"/>
  <c r="R7" i="1"/>
  <c r="Q7" i="1"/>
  <c r="P7" i="1"/>
  <c r="L7" i="1"/>
  <c r="K7" i="1"/>
  <c r="J7" i="1"/>
  <c r="N7" i="1"/>
  <c r="F8" i="1" l="1"/>
  <c r="P8" i="1"/>
  <c r="O8" i="1"/>
  <c r="R8" i="1"/>
  <c r="N8" i="1"/>
  <c r="J8" i="1"/>
  <c r="S9" i="1"/>
  <c r="K9" i="1"/>
  <c r="J9" i="1"/>
  <c r="I9" i="1"/>
  <c r="O9" i="1"/>
  <c r="P9" i="1"/>
  <c r="N9" i="1"/>
  <c r="M9" i="1"/>
  <c r="L9" i="1"/>
  <c r="F9" i="1"/>
  <c r="Q9" i="1" s="1"/>
  <c r="K10" i="1"/>
  <c r="Q10" i="1"/>
  <c r="P10" i="1"/>
  <c r="F10" i="1"/>
  <c r="N10" i="1" s="1"/>
  <c r="R10" i="1"/>
  <c r="I10" i="1"/>
  <c r="E11" i="1" l="1"/>
  <c r="J10" i="1"/>
  <c r="M10" i="1"/>
  <c r="L10" i="1"/>
  <c r="H10" i="1"/>
  <c r="S10" i="1"/>
  <c r="K8" i="1"/>
  <c r="L8" i="1"/>
  <c r="H8" i="1"/>
  <c r="R9" i="1"/>
  <c r="S8" i="1"/>
  <c r="I8" i="1"/>
  <c r="O10" i="1"/>
  <c r="H9" i="1"/>
  <c r="M8" i="1"/>
  <c r="Q8" i="1"/>
  <c r="F11" i="1" l="1"/>
  <c r="N11" i="1"/>
  <c r="M11" i="1"/>
  <c r="Q11" i="1"/>
  <c r="L11" i="1"/>
  <c r="J11" i="1"/>
  <c r="P11" i="1"/>
  <c r="S11" i="1"/>
  <c r="R11" i="1"/>
  <c r="I11" i="1"/>
  <c r="H11" i="1"/>
  <c r="E12" i="1" l="1"/>
  <c r="E13" i="1"/>
  <c r="K11" i="1"/>
  <c r="O11" i="1"/>
  <c r="R13" i="1" l="1"/>
  <c r="J13" i="1"/>
  <c r="Q13" i="1"/>
  <c r="N13" i="1"/>
  <c r="L13" i="1"/>
  <c r="F13" i="1"/>
  <c r="P13" i="1"/>
  <c r="O13" i="1"/>
  <c r="F12" i="1"/>
  <c r="J12" i="1"/>
  <c r="L12" i="1" l="1"/>
  <c r="I12" i="1"/>
  <c r="M12" i="1"/>
  <c r="Q12" i="1"/>
  <c r="K12" i="1"/>
  <c r="N12" i="1"/>
  <c r="O12" i="1"/>
  <c r="E17" i="1"/>
  <c r="E14" i="1"/>
  <c r="I13" i="1"/>
  <c r="S12" i="1"/>
  <c r="H12" i="1"/>
  <c r="H13" i="1"/>
  <c r="K13" i="1"/>
  <c r="R12" i="1"/>
  <c r="P12" i="1"/>
  <c r="M13" i="1"/>
  <c r="S13" i="1"/>
  <c r="F14" i="1" l="1"/>
  <c r="J14" i="1"/>
  <c r="I14" i="1"/>
  <c r="S17" i="1"/>
  <c r="K17" i="1"/>
  <c r="Q17" i="1"/>
  <c r="I17" i="1"/>
  <c r="R17" i="1"/>
  <c r="F17" i="1"/>
  <c r="E18" i="1" s="1"/>
  <c r="P17" i="1"/>
  <c r="O17" i="1"/>
  <c r="M17" i="1"/>
  <c r="L17" i="1"/>
  <c r="N17" i="1"/>
  <c r="E15" i="1" l="1"/>
  <c r="M18" i="1"/>
  <c r="K18" i="1"/>
  <c r="L18" i="1"/>
  <c r="S18" i="1"/>
  <c r="H18" i="1"/>
  <c r="O18" i="1"/>
  <c r="F18" i="1"/>
  <c r="E19" i="1" s="1"/>
  <c r="Q18" i="1"/>
  <c r="P18" i="1"/>
  <c r="N18" i="1"/>
  <c r="J18" i="1"/>
  <c r="I18" i="1"/>
  <c r="O14" i="1"/>
  <c r="N14" i="1"/>
  <c r="H17" i="1"/>
  <c r="P14" i="1"/>
  <c r="S14" i="1"/>
  <c r="J17" i="1"/>
  <c r="Q14" i="1"/>
  <c r="L14" i="1"/>
  <c r="R14" i="1"/>
  <c r="K14" i="1"/>
  <c r="H14" i="1"/>
  <c r="M14" i="1"/>
  <c r="F19" i="1" l="1"/>
  <c r="M19" i="1"/>
  <c r="N19" i="1"/>
  <c r="S19" i="1"/>
  <c r="H19" i="1"/>
  <c r="R19" i="1"/>
  <c r="Q19" i="1"/>
  <c r="L19" i="1"/>
  <c r="K19" i="1"/>
  <c r="J19" i="1"/>
  <c r="I19" i="1"/>
  <c r="R18" i="1"/>
  <c r="F15" i="1"/>
  <c r="R15" i="1"/>
  <c r="E16" i="1" l="1"/>
  <c r="E24" i="1"/>
  <c r="H15" i="1"/>
  <c r="O15" i="1"/>
  <c r="I15" i="1"/>
  <c r="J15" i="1"/>
  <c r="S15" i="1"/>
  <c r="L15" i="1"/>
  <c r="K15" i="1"/>
  <c r="P15" i="1"/>
  <c r="N15" i="1"/>
  <c r="E21" i="1"/>
  <c r="E20" i="1"/>
  <c r="Q15" i="1"/>
  <c r="M15" i="1"/>
  <c r="P19" i="1"/>
  <c r="O19" i="1"/>
  <c r="F20" i="1" l="1"/>
  <c r="P20" i="1"/>
  <c r="H20" i="1"/>
  <c r="S20" i="1"/>
  <c r="M20" i="1"/>
  <c r="K20" i="1"/>
  <c r="J20" i="1"/>
  <c r="S21" i="1"/>
  <c r="K21" i="1"/>
  <c r="Q21" i="1"/>
  <c r="I21" i="1"/>
  <c r="J21" i="1"/>
  <c r="P21" i="1"/>
  <c r="L21" i="1"/>
  <c r="O21" i="1"/>
  <c r="N21" i="1"/>
  <c r="M21" i="1"/>
  <c r="H21" i="1"/>
  <c r="F21" i="1"/>
  <c r="R21" i="1" s="1"/>
  <c r="F24" i="1"/>
  <c r="M24" i="1" s="1"/>
  <c r="P24" i="1"/>
  <c r="H24" i="1"/>
  <c r="R24" i="1"/>
  <c r="N24" i="1"/>
  <c r="Q16" i="1"/>
  <c r="I16" i="1"/>
  <c r="F16" i="1"/>
  <c r="E25" i="1" s="1"/>
  <c r="K16" i="1"/>
  <c r="R16" i="1"/>
  <c r="J16" i="1"/>
  <c r="S16" i="1"/>
  <c r="Q25" i="1" l="1"/>
  <c r="I25" i="1"/>
  <c r="R25" i="1"/>
  <c r="J25" i="1"/>
  <c r="M25" i="1"/>
  <c r="L25" i="1"/>
  <c r="F25" i="1"/>
  <c r="S25" i="1" s="1"/>
  <c r="P25" i="1"/>
  <c r="O25" i="1"/>
  <c r="N25" i="1"/>
  <c r="S24" i="1"/>
  <c r="O24" i="1"/>
  <c r="L16" i="1"/>
  <c r="H16" i="1"/>
  <c r="J24" i="1"/>
  <c r="I24" i="1"/>
  <c r="E22" i="1"/>
  <c r="M16" i="1"/>
  <c r="P16" i="1"/>
  <c r="K24" i="1"/>
  <c r="Q24" i="1"/>
  <c r="L20" i="1"/>
  <c r="O20" i="1"/>
  <c r="N16" i="1"/>
  <c r="O16" i="1"/>
  <c r="L24" i="1"/>
  <c r="N20" i="1"/>
  <c r="I20" i="1"/>
  <c r="R20" i="1"/>
  <c r="Q20" i="1"/>
  <c r="P22" i="1" l="1"/>
  <c r="H22" i="1"/>
  <c r="O22" i="1"/>
  <c r="N22" i="1"/>
  <c r="F22" i="1"/>
  <c r="E23" i="1" s="1"/>
  <c r="R22" i="1"/>
  <c r="K25" i="1"/>
  <c r="H25" i="1"/>
  <c r="O23" i="1" l="1"/>
  <c r="F23" i="1"/>
  <c r="E26" i="1" s="1"/>
  <c r="M23" i="1"/>
  <c r="N23" i="1"/>
  <c r="P23" i="1"/>
  <c r="I23" i="1"/>
  <c r="S23" i="1"/>
  <c r="L23" i="1"/>
  <c r="K23" i="1"/>
  <c r="J23" i="1"/>
  <c r="H23" i="1"/>
  <c r="R23" i="1"/>
  <c r="Q23" i="1"/>
  <c r="L22" i="1"/>
  <c r="Q22" i="1"/>
  <c r="K22" i="1"/>
  <c r="I22" i="1"/>
  <c r="S22" i="1"/>
  <c r="J22" i="1"/>
  <c r="M22" i="1"/>
  <c r="M26" i="1" l="1"/>
  <c r="R26" i="1"/>
  <c r="J26" i="1"/>
  <c r="L26" i="1"/>
  <c r="N26" i="1"/>
  <c r="Q26" i="1"/>
  <c r="I26" i="1"/>
  <c r="F26" i="1"/>
  <c r="E27" i="1" s="1"/>
  <c r="O26" i="1"/>
  <c r="P26" i="1"/>
  <c r="O27" i="1" l="1"/>
  <c r="F27" i="1"/>
  <c r="E28" i="1" s="1"/>
  <c r="M27" i="1"/>
  <c r="L27" i="1"/>
  <c r="N27" i="1"/>
  <c r="P27" i="1"/>
  <c r="H27" i="1"/>
  <c r="K27" i="1"/>
  <c r="J27" i="1"/>
  <c r="I27" i="1"/>
  <c r="S27" i="1"/>
  <c r="R27" i="1"/>
  <c r="Q27" i="1"/>
  <c r="K26" i="1"/>
  <c r="H26" i="1"/>
  <c r="S26" i="1"/>
  <c r="Q28" i="1" l="1"/>
  <c r="F28" i="1"/>
  <c r="E29" i="1" s="1"/>
  <c r="N28" i="1"/>
  <c r="P28" i="1"/>
  <c r="H28" i="1"/>
  <c r="R28" i="1"/>
  <c r="J28" i="1"/>
  <c r="K28" i="1"/>
  <c r="S28" i="1"/>
  <c r="H29" i="1" l="1"/>
  <c r="R29" i="1"/>
  <c r="J29" i="1"/>
  <c r="F29" i="1"/>
  <c r="E30" i="1" s="1"/>
  <c r="M29" i="1"/>
  <c r="L28" i="1"/>
  <c r="O28" i="1"/>
  <c r="M28" i="1"/>
  <c r="I28" i="1"/>
  <c r="P29" i="1" l="1"/>
  <c r="N29" i="1"/>
  <c r="I29" i="1"/>
  <c r="O29" i="1"/>
  <c r="Q29" i="1"/>
  <c r="K29" i="1"/>
  <c r="M30" i="1"/>
  <c r="S30" i="1"/>
  <c r="R30" i="1"/>
  <c r="K30" i="1"/>
  <c r="O30" i="1"/>
  <c r="Q30" i="1"/>
  <c r="P30" i="1"/>
  <c r="N30" i="1"/>
  <c r="I30" i="1"/>
  <c r="F30" i="1"/>
  <c r="C32" i="1" s="1"/>
  <c r="L29" i="1"/>
  <c r="S29" i="1"/>
  <c r="L30" i="1" l="1"/>
  <c r="H30" i="1"/>
  <c r="J30" i="1"/>
</calcChain>
</file>

<file path=xl/sharedStrings.xml><?xml version="1.0" encoding="utf-8"?>
<sst xmlns="http://schemas.openxmlformats.org/spreadsheetml/2006/main" count="153" uniqueCount="129">
  <si>
    <t>StreamList development Gantt chart</t>
  </si>
  <si>
    <t>Proposed estimates. Week 1 = project start. One week = five working days.</t>
  </si>
  <si>
    <t>No course dates were provided. Overlapping tasks require sufficient team capacity.</t>
  </si>
  <si>
    <t>Duration inputs are amber. Start and finish days update from predecessor tasks.</t>
  </si>
  <si>
    <t>Task</t>
  </si>
  <si>
    <t>Days</t>
  </si>
  <si>
    <t>Start day</t>
  </si>
  <si>
    <t>Finish day</t>
  </si>
  <si>
    <t>SRS reference</t>
  </si>
  <si>
    <t>Review SRS and confirm scope</t>
  </si>
  <si>
    <t>—</t>
  </si>
  <si>
    <t>Sections 1–4</t>
  </si>
  <si>
    <t>Create Gantt chart (Rommel)</t>
  </si>
  <si>
    <t>1</t>
  </si>
  <si>
    <t>Program design assignment</t>
  </si>
  <si>
    <t>Create wireframe (Charles)</t>
  </si>
  <si>
    <t>Check provider and payment access</t>
  </si>
  <si>
    <t>Review design and set up repository</t>
  </si>
  <si>
    <t>2, 3</t>
  </si>
  <si>
    <t>Present design and upload files to GitHub</t>
  </si>
  <si>
    <t>5</t>
  </si>
  <si>
    <t>Build app, database and secure foundation</t>
  </si>
  <si>
    <t>4, 5</t>
  </si>
  <si>
    <t>Build registration, login and logout</t>
  </si>
  <si>
    <t>7</t>
  </si>
  <si>
    <t>FR1</t>
  </si>
  <si>
    <t>Build profiles and account settings</t>
  </si>
  <si>
    <t>8</t>
  </si>
  <si>
    <t>FR12</t>
  </si>
  <si>
    <t>Build monthly subscription management</t>
  </si>
  <si>
    <t>9</t>
  </si>
  <si>
    <t>Connect movie metadata and provider APIs</t>
  </si>
  <si>
    <t>FR4,6,16</t>
  </si>
  <si>
    <t>Build movie search and filters</t>
  </si>
  <si>
    <t>11</t>
  </si>
  <si>
    <t>FR3</t>
  </si>
  <si>
    <t>Build movie details and provider launch</t>
  </si>
  <si>
    <t>12</t>
  </si>
  <si>
    <t>FR5,6</t>
  </si>
  <si>
    <t>Build personal watchlists</t>
  </si>
  <si>
    <t>8, 13</t>
  </si>
  <si>
    <t>FR7</t>
  </si>
  <si>
    <t>Build viewing history</t>
  </si>
  <si>
    <t>13, 9</t>
  </si>
  <si>
    <t>FR9</t>
  </si>
  <si>
    <t>Build movie recommendations</t>
  </si>
  <si>
    <t>14, 15</t>
  </si>
  <si>
    <t>FR8</t>
  </si>
  <si>
    <t>Build availability notifications</t>
  </si>
  <si>
    <t>14, 16, 9</t>
  </si>
  <si>
    <t>Build parental profiles and restrictions</t>
  </si>
  <si>
    <t>9, 13</t>
  </si>
  <si>
    <t>FR11</t>
  </si>
  <si>
    <t>Build administration and support tools</t>
  </si>
  <si>
    <t>10, 11</t>
  </si>
  <si>
    <t>Finish responsive UI and accessibility</t>
  </si>
  <si>
    <t>17, 18, 19</t>
  </si>
  <si>
    <t>Run functional, integration and security tests</t>
  </si>
  <si>
    <t>20</t>
  </si>
  <si>
    <t>Test speed, load, recovery and browsers</t>
  </si>
  <si>
    <t>21</t>
  </si>
  <si>
    <t>Run user review and correct defects</t>
  </si>
  <si>
    <t>22</t>
  </si>
  <si>
    <t>Prepare deployment and operations</t>
  </si>
  <si>
    <t>23</t>
  </si>
  <si>
    <t>Estimated elapsed working days</t>
  </si>
  <si>
    <t>Total task-days (includes overlapping work)</t>
  </si>
  <si>
    <t>Legend:</t>
  </si>
  <si>
    <t>UI = User Interface</t>
  </si>
  <si>
    <t>FR = Functional Requirement</t>
  </si>
  <si>
    <t>SRS = Software Requirements Specification</t>
  </si>
  <si>
    <t>FR14; UI Section 3.1</t>
  </si>
  <si>
    <t>FR16; Section 3.3–3.4</t>
  </si>
  <si>
    <t>FR14; Section 4.6</t>
  </si>
  <si>
    <t>Section 3.3; Sections 4.1–4.2,4.5–4.6</t>
  </si>
  <si>
    <t>FR2; Section 4.1</t>
  </si>
  <si>
    <t>FR10; Section 3.4</t>
  </si>
  <si>
    <t>FR13; Section 3.4</t>
  </si>
  <si>
    <t>FR14,15; Sectin 3.1; Sections 4.3,4.7–4.8</t>
  </si>
  <si>
    <t>FR1–13; Sectionn 4.1,4.6</t>
  </si>
  <si>
    <t>FR15; Sections 4.3–4.5,4.8</t>
  </si>
  <si>
    <t>Section 4.7; all FRs</t>
  </si>
  <si>
    <t>Section 4.4,4.6,4.8</t>
  </si>
  <si>
    <t>Requirements and schedule assumptions</t>
  </si>
  <si>
    <t>Task #</t>
  </si>
  <si>
    <t>Completion evidence</t>
  </si>
  <si>
    <t>Team confirms feature list and acceptance criteria.</t>
  </si>
  <si>
    <t>Tasks, durations, sequencing and dependencies are documented.</t>
  </si>
  <si>
    <t>Screen layout and navigation cover the required features.</t>
  </si>
  <si>
    <t>Confirm authorized API access, provider rules and payment sandbox.</t>
  </si>
  <si>
    <t>Agree on design and organize project files in GitHub.</t>
  </si>
  <si>
    <t>Combine chart and wireframe in slides, record video and verify GitHub access.</t>
  </si>
  <si>
    <t>App, database schema, HTTPS, role controls and CI are configured.</t>
  </si>
  <si>
    <t>Registration, login, logout and password protection work.</t>
  </si>
  <si>
    <t>Users can change profile, password and notification preferences.</t>
  </si>
  <si>
    <t>Enroll, update payment method, view status and cancel in sandbox.</t>
  </si>
  <si>
    <t>Retrieve movie details and supported provider availability.</t>
  </si>
  <si>
    <t>Search by title and filter by genre, year, rating and provider.</t>
  </si>
  <si>
    <t>Show poster/details and launch authorized content or provider link.</t>
  </si>
  <si>
    <t>Registered users can add and remove movies.</t>
  </si>
  <si>
    <t>Record accessed movies and allow history removal.</t>
  </si>
  <si>
    <t>Use preferences, watchlist and viewing activity for recommendations.</t>
  </si>
  <si>
    <t>Notify users of watchlist availability and new recommendations.</t>
  </si>
  <si>
    <t>Apply rating restrictions consistently across content access.</t>
  </si>
  <si>
    <t>FR13; Sectin 3.4</t>
  </si>
  <si>
    <t>Authorized staff can manage accounts, integrations and support.</t>
  </si>
  <si>
    <t>FR14,15; Sectin 3.1; Section 4.3,4.7–4.8</t>
  </si>
  <si>
    <t>Check consistent layout, keyboard access, labels and screen sizes.</t>
  </si>
  <si>
    <t>FR1–13; Section 4.1,4.6</t>
  </si>
  <si>
    <t>Test user journeys, payments, role access and provider failures.</t>
  </si>
  <si>
    <t>FR15; Section 4.3–4.5,4.8</t>
  </si>
  <si>
    <t>Test 3-second search target, 10,000 users, backups and recovery.</t>
  </si>
  <si>
    <t>Section 7; all FRs</t>
  </si>
  <si>
    <t>Team reviews usability and retests corrected defects.</t>
  </si>
  <si>
    <t>Sections 4.4,4.6,4.8</t>
  </si>
  <si>
    <t>Configure monitoring, logs, backups and release documentation.</t>
  </si>
  <si>
    <t>Source: Week 1 Assignment 2 SRS.docx, dated October 7, 2026. FR = numbered functional requirement.</t>
  </si>
  <si>
    <t>Estimates are proposed planning assumptions, not instructor deadlines or actual progress. No instructor feedback was supplied.</t>
  </si>
  <si>
    <t>Days measure elapsed working time for each task. Actual effort and staffing must be confirmed before using this as a committed plan.</t>
  </si>
  <si>
    <t>After tasks are finish-to-start dependencies. A task starts on the working day after its latest predecessor finishes.</t>
  </si>
  <si>
    <t>Rommel owns the Gantt chart and Charles owns the wireframe. Other work assignments remain for the group to agree on.</t>
  </si>
  <si>
    <t>Task 4 estimates verification work only. Licensing negotiation, approval waits and unavailable provider access may extend the schedule.</t>
  </si>
  <si>
    <t>Live provider access and payment credentials are prerequisites. Use test data/sandbox services for a class prototype when needed.</t>
  </si>
  <si>
    <t>The SRS targets 99.9% monthly availability and recovery initiation within 30 minutes. Monitoring validates uptime after release.</t>
  </si>
  <si>
    <t>Task 6 is the current program design submission. It follows design review and can run alongside application setup.</t>
  </si>
  <si>
    <t>The implementation schedule estimates the full SRS scope. Adjust its timing to the syllabus and agreed prototype scope.</t>
  </si>
  <si>
    <t>Change durations in column C. Start/finish formulas and bars update. Changing dependency tasks also requires updating the start formula.</t>
  </si>
  <si>
    <t>Blue cells show weeks touched by a task. Exact start and finish working days are in columns E and F.</t>
  </si>
  <si>
    <t>After 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</si>
</sst>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W&quot;0"/>
    <numFmt numFmtId="165" formatCode=";;;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3247"/>
      <name val="Arial"/>
    </font>
    <font>
      <b/>
      <sz val="17"/>
      <color rgb="FF172E4D"/>
      <name val="Arial"/>
    </font>
    <font>
      <i/>
      <sz val="11"/>
      <color rgb="FF243247"/>
      <name val="Arial"/>
    </font>
    <font>
      <b/>
      <sz val="11"/>
      <color rgb="FFFFFFFF"/>
      <name val="Arial"/>
    </font>
    <font>
      <sz val="11"/>
      <color rgb="FF243247"/>
      <name val="Arial"/>
      <family val="2"/>
    </font>
    <font>
      <b/>
      <sz val="17"/>
      <color rgb="FF243247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03B60"/>
      </patternFill>
    </fill>
    <fill>
      <patternFill patternType="solid">
        <fgColor rgb="FFF1F4F8"/>
      </patternFill>
    </fill>
    <fill>
      <patternFill patternType="solid">
        <fgColor rgb="FFFFF0C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 applyAlignment="1">
      <alignment horizontal="center"/>
    </xf>
    <xf numFmtId="165" fontId="2" fillId="3" borderId="0" xfId="0" applyNumberFormat="1" applyFont="1" applyFill="1"/>
    <xf numFmtId="0" fontId="2" fillId="0" borderId="0" xfId="0" applyFont="1" applyAlignment="1">
      <alignment horizontal="center"/>
    </xf>
    <xf numFmtId="165" fontId="2" fillId="0" borderId="0" xfId="0" applyNumberFormat="1" applyFont="1"/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bgColor rgb="FF3979B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E70E1-F7BA-4211-B789-D0CD6803DA81}">
  <dimension ref="A1:S39"/>
  <sheetViews>
    <sheetView tabSelected="1" workbookViewId="0">
      <selection activeCell="B14" sqref="B14"/>
    </sheetView>
  </sheetViews>
  <sheetFormatPr defaultRowHeight="15" x14ac:dyDescent="0.25"/>
  <cols>
    <col min="1" max="1" width="7.85546875" customWidth="1"/>
    <col min="2" max="2" width="72.5703125" customWidth="1"/>
    <col min="3" max="3" width="11.42578125" customWidth="1"/>
    <col min="4" max="4" width="12.7109375" customWidth="1"/>
    <col min="5" max="6" width="11.42578125" customWidth="1"/>
    <col min="7" max="7" width="45.140625" customWidth="1"/>
    <col min="8" max="19" width="6.85546875" customWidth="1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.75" x14ac:dyDescent="0.3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7.95" customHeight="1" x14ac:dyDescent="0.25">
      <c r="A6" s="24" t="s">
        <v>84</v>
      </c>
      <c r="B6" s="4" t="s">
        <v>4</v>
      </c>
      <c r="C6" s="4" t="s">
        <v>5</v>
      </c>
      <c r="D6" s="24" t="s">
        <v>128</v>
      </c>
      <c r="E6" s="4" t="s">
        <v>6</v>
      </c>
      <c r="F6" s="4" t="s">
        <v>7</v>
      </c>
      <c r="G6" s="4" t="s">
        <v>8</v>
      </c>
      <c r="H6" s="5">
        <v>1</v>
      </c>
      <c r="I6" s="5">
        <v>2</v>
      </c>
      <c r="J6" s="5">
        <v>3</v>
      </c>
      <c r="K6" s="5">
        <v>4</v>
      </c>
      <c r="L6" s="5">
        <v>5</v>
      </c>
      <c r="M6" s="5">
        <v>6</v>
      </c>
      <c r="N6" s="5">
        <v>7</v>
      </c>
      <c r="O6" s="5">
        <v>8</v>
      </c>
      <c r="P6" s="5">
        <v>9</v>
      </c>
      <c r="Q6" s="5">
        <v>10</v>
      </c>
      <c r="R6" s="5">
        <v>11</v>
      </c>
      <c r="S6" s="5">
        <v>12</v>
      </c>
    </row>
    <row r="7" spans="1:19" ht="30" customHeight="1" x14ac:dyDescent="0.25">
      <c r="A7" s="6">
        <v>1</v>
      </c>
      <c r="B7" s="7" t="s">
        <v>9</v>
      </c>
      <c r="C7" s="8">
        <v>2</v>
      </c>
      <c r="D7" s="6" t="s">
        <v>10</v>
      </c>
      <c r="E7" s="6">
        <f>1</f>
        <v>1</v>
      </c>
      <c r="F7" s="6">
        <f t="shared" ref="F7:F30" si="0">E7+C7-1</f>
        <v>2</v>
      </c>
      <c r="G7" s="7" t="s">
        <v>11</v>
      </c>
      <c r="H7" s="9">
        <f t="shared" ref="H7:S22" si="1">IF(AND($E7&lt;=H$6*5,$F7&gt;(H$6-1)*5),1,0)</f>
        <v>1</v>
      </c>
      <c r="I7" s="9">
        <f t="shared" si="1"/>
        <v>0</v>
      </c>
      <c r="J7" s="9">
        <f t="shared" si="1"/>
        <v>0</v>
      </c>
      <c r="K7" s="9">
        <f t="shared" si="1"/>
        <v>0</v>
      </c>
      <c r="L7" s="9">
        <f t="shared" si="1"/>
        <v>0</v>
      </c>
      <c r="M7" s="9">
        <f t="shared" si="1"/>
        <v>0</v>
      </c>
      <c r="N7" s="9">
        <f t="shared" si="1"/>
        <v>0</v>
      </c>
      <c r="O7" s="9">
        <f t="shared" si="1"/>
        <v>0</v>
      </c>
      <c r="P7" s="9">
        <f t="shared" si="1"/>
        <v>0</v>
      </c>
      <c r="Q7" s="9">
        <f t="shared" si="1"/>
        <v>0</v>
      </c>
      <c r="R7" s="9">
        <f t="shared" si="1"/>
        <v>0</v>
      </c>
      <c r="S7" s="9">
        <f t="shared" si="1"/>
        <v>0</v>
      </c>
    </row>
    <row r="8" spans="1:19" ht="30" customHeight="1" x14ac:dyDescent="0.25">
      <c r="A8" s="10">
        <v>2</v>
      </c>
      <c r="B8" s="1" t="s">
        <v>12</v>
      </c>
      <c r="C8" s="8">
        <v>2</v>
      </c>
      <c r="D8" s="10" t="s">
        <v>13</v>
      </c>
      <c r="E8" s="10">
        <f>MAX(F7)+1</f>
        <v>3</v>
      </c>
      <c r="F8" s="10">
        <f t="shared" si="0"/>
        <v>4</v>
      </c>
      <c r="G8" s="1" t="s">
        <v>14</v>
      </c>
      <c r="H8" s="11">
        <f t="shared" si="1"/>
        <v>1</v>
      </c>
      <c r="I8" s="11">
        <f t="shared" si="1"/>
        <v>0</v>
      </c>
      <c r="J8" s="11">
        <f t="shared" si="1"/>
        <v>0</v>
      </c>
      <c r="K8" s="11">
        <f t="shared" si="1"/>
        <v>0</v>
      </c>
      <c r="L8" s="11">
        <f t="shared" si="1"/>
        <v>0</v>
      </c>
      <c r="M8" s="11">
        <f t="shared" si="1"/>
        <v>0</v>
      </c>
      <c r="N8" s="11">
        <f t="shared" si="1"/>
        <v>0</v>
      </c>
      <c r="O8" s="11">
        <f t="shared" si="1"/>
        <v>0</v>
      </c>
      <c r="P8" s="11">
        <f t="shared" si="1"/>
        <v>0</v>
      </c>
      <c r="Q8" s="11">
        <f t="shared" si="1"/>
        <v>0</v>
      </c>
      <c r="R8" s="11">
        <f t="shared" si="1"/>
        <v>0</v>
      </c>
      <c r="S8" s="11">
        <f t="shared" si="1"/>
        <v>0</v>
      </c>
    </row>
    <row r="9" spans="1:19" ht="30" customHeight="1" x14ac:dyDescent="0.25">
      <c r="A9" s="6">
        <v>3</v>
      </c>
      <c r="B9" s="7" t="s">
        <v>15</v>
      </c>
      <c r="C9" s="8">
        <v>3</v>
      </c>
      <c r="D9" s="6" t="s">
        <v>13</v>
      </c>
      <c r="E9" s="6">
        <f>MAX(F7)+1</f>
        <v>3</v>
      </c>
      <c r="F9" s="6">
        <f t="shared" si="0"/>
        <v>5</v>
      </c>
      <c r="G9" s="13" t="s">
        <v>71</v>
      </c>
      <c r="H9" s="9">
        <f t="shared" si="1"/>
        <v>1</v>
      </c>
      <c r="I9" s="9">
        <f t="shared" si="1"/>
        <v>0</v>
      </c>
      <c r="J9" s="9">
        <f t="shared" si="1"/>
        <v>0</v>
      </c>
      <c r="K9" s="9">
        <f t="shared" si="1"/>
        <v>0</v>
      </c>
      <c r="L9" s="9">
        <f t="shared" si="1"/>
        <v>0</v>
      </c>
      <c r="M9" s="9">
        <f t="shared" si="1"/>
        <v>0</v>
      </c>
      <c r="N9" s="9">
        <f t="shared" si="1"/>
        <v>0</v>
      </c>
      <c r="O9" s="9">
        <f t="shared" si="1"/>
        <v>0</v>
      </c>
      <c r="P9" s="9">
        <f t="shared" si="1"/>
        <v>0</v>
      </c>
      <c r="Q9" s="9">
        <f t="shared" si="1"/>
        <v>0</v>
      </c>
      <c r="R9" s="9">
        <f t="shared" si="1"/>
        <v>0</v>
      </c>
      <c r="S9" s="9">
        <f t="shared" si="1"/>
        <v>0</v>
      </c>
    </row>
    <row r="10" spans="1:19" ht="30" customHeight="1" x14ac:dyDescent="0.25">
      <c r="A10" s="10">
        <v>4</v>
      </c>
      <c r="B10" s="1" t="s">
        <v>16</v>
      </c>
      <c r="C10" s="8">
        <v>4</v>
      </c>
      <c r="D10" s="10" t="s">
        <v>13</v>
      </c>
      <c r="E10" s="10">
        <f>MAX(F7)+1</f>
        <v>3</v>
      </c>
      <c r="F10" s="10">
        <f t="shared" si="0"/>
        <v>6</v>
      </c>
      <c r="G10" s="14" t="s">
        <v>72</v>
      </c>
      <c r="H10" s="11">
        <f t="shared" si="1"/>
        <v>1</v>
      </c>
      <c r="I10" s="11">
        <f t="shared" si="1"/>
        <v>1</v>
      </c>
      <c r="J10" s="11">
        <f t="shared" si="1"/>
        <v>0</v>
      </c>
      <c r="K10" s="11">
        <f t="shared" si="1"/>
        <v>0</v>
      </c>
      <c r="L10" s="11">
        <f t="shared" si="1"/>
        <v>0</v>
      </c>
      <c r="M10" s="11">
        <f t="shared" si="1"/>
        <v>0</v>
      </c>
      <c r="N10" s="11">
        <f t="shared" si="1"/>
        <v>0</v>
      </c>
      <c r="O10" s="11">
        <f t="shared" si="1"/>
        <v>0</v>
      </c>
      <c r="P10" s="11">
        <f t="shared" si="1"/>
        <v>0</v>
      </c>
      <c r="Q10" s="11">
        <f t="shared" si="1"/>
        <v>0</v>
      </c>
      <c r="R10" s="11">
        <f t="shared" si="1"/>
        <v>0</v>
      </c>
      <c r="S10" s="11">
        <f t="shared" si="1"/>
        <v>0</v>
      </c>
    </row>
    <row r="11" spans="1:19" ht="30" customHeight="1" x14ac:dyDescent="0.25">
      <c r="A11" s="6">
        <v>5</v>
      </c>
      <c r="B11" s="7" t="s">
        <v>17</v>
      </c>
      <c r="C11" s="8">
        <v>2</v>
      </c>
      <c r="D11" s="6" t="s">
        <v>18</v>
      </c>
      <c r="E11" s="6">
        <f>MAX(F8,F9)+1</f>
        <v>6</v>
      </c>
      <c r="F11" s="6">
        <f t="shared" si="0"/>
        <v>7</v>
      </c>
      <c r="G11" s="13" t="s">
        <v>73</v>
      </c>
      <c r="H11" s="9">
        <f t="shared" si="1"/>
        <v>0</v>
      </c>
      <c r="I11" s="9">
        <f t="shared" si="1"/>
        <v>1</v>
      </c>
      <c r="J11" s="9">
        <f t="shared" si="1"/>
        <v>0</v>
      </c>
      <c r="K11" s="9">
        <f t="shared" si="1"/>
        <v>0</v>
      </c>
      <c r="L11" s="9">
        <f t="shared" si="1"/>
        <v>0</v>
      </c>
      <c r="M11" s="9">
        <f t="shared" si="1"/>
        <v>0</v>
      </c>
      <c r="N11" s="9">
        <f t="shared" si="1"/>
        <v>0</v>
      </c>
      <c r="O11" s="9">
        <f t="shared" si="1"/>
        <v>0</v>
      </c>
      <c r="P11" s="9">
        <f t="shared" si="1"/>
        <v>0</v>
      </c>
      <c r="Q11" s="9">
        <f t="shared" si="1"/>
        <v>0</v>
      </c>
      <c r="R11" s="9">
        <f t="shared" si="1"/>
        <v>0</v>
      </c>
      <c r="S11" s="9">
        <f t="shared" si="1"/>
        <v>0</v>
      </c>
    </row>
    <row r="12" spans="1:19" ht="30" customHeight="1" x14ac:dyDescent="0.25">
      <c r="A12" s="10">
        <v>6</v>
      </c>
      <c r="B12" s="1" t="s">
        <v>19</v>
      </c>
      <c r="C12" s="8">
        <v>2</v>
      </c>
      <c r="D12" s="10" t="s">
        <v>20</v>
      </c>
      <c r="E12" s="10">
        <f>MAX(F11)+1</f>
        <v>8</v>
      </c>
      <c r="F12" s="10">
        <f t="shared" si="0"/>
        <v>9</v>
      </c>
      <c r="G12" s="1" t="s">
        <v>14</v>
      </c>
      <c r="H12" s="11">
        <f t="shared" si="1"/>
        <v>0</v>
      </c>
      <c r="I12" s="11">
        <f t="shared" si="1"/>
        <v>1</v>
      </c>
      <c r="J12" s="11">
        <f t="shared" si="1"/>
        <v>0</v>
      </c>
      <c r="K12" s="11">
        <f t="shared" si="1"/>
        <v>0</v>
      </c>
      <c r="L12" s="11">
        <f t="shared" si="1"/>
        <v>0</v>
      </c>
      <c r="M12" s="11">
        <f t="shared" si="1"/>
        <v>0</v>
      </c>
      <c r="N12" s="11">
        <f t="shared" si="1"/>
        <v>0</v>
      </c>
      <c r="O12" s="11">
        <f t="shared" si="1"/>
        <v>0</v>
      </c>
      <c r="P12" s="11">
        <f t="shared" si="1"/>
        <v>0</v>
      </c>
      <c r="Q12" s="11">
        <f t="shared" si="1"/>
        <v>0</v>
      </c>
      <c r="R12" s="11">
        <f t="shared" si="1"/>
        <v>0</v>
      </c>
      <c r="S12" s="11">
        <f t="shared" si="1"/>
        <v>0</v>
      </c>
    </row>
    <row r="13" spans="1:19" ht="30" customHeight="1" x14ac:dyDescent="0.25">
      <c r="A13" s="6">
        <v>7</v>
      </c>
      <c r="B13" s="7" t="s">
        <v>21</v>
      </c>
      <c r="C13" s="8">
        <v>5</v>
      </c>
      <c r="D13" s="6" t="s">
        <v>22</v>
      </c>
      <c r="E13" s="6">
        <f>MAX(F10,F11)+1</f>
        <v>8</v>
      </c>
      <c r="F13" s="6">
        <f t="shared" si="0"/>
        <v>12</v>
      </c>
      <c r="G13" s="13" t="s">
        <v>74</v>
      </c>
      <c r="H13" s="9">
        <f t="shared" si="1"/>
        <v>0</v>
      </c>
      <c r="I13" s="9">
        <f t="shared" si="1"/>
        <v>1</v>
      </c>
      <c r="J13" s="9">
        <f t="shared" si="1"/>
        <v>1</v>
      </c>
      <c r="K13" s="9">
        <f t="shared" si="1"/>
        <v>0</v>
      </c>
      <c r="L13" s="9">
        <f t="shared" si="1"/>
        <v>0</v>
      </c>
      <c r="M13" s="9">
        <f t="shared" si="1"/>
        <v>0</v>
      </c>
      <c r="N13" s="9">
        <f t="shared" si="1"/>
        <v>0</v>
      </c>
      <c r="O13" s="9">
        <f t="shared" si="1"/>
        <v>0</v>
      </c>
      <c r="P13" s="9">
        <f t="shared" si="1"/>
        <v>0</v>
      </c>
      <c r="Q13" s="9">
        <f t="shared" si="1"/>
        <v>0</v>
      </c>
      <c r="R13" s="9">
        <f t="shared" si="1"/>
        <v>0</v>
      </c>
      <c r="S13" s="9">
        <f t="shared" si="1"/>
        <v>0</v>
      </c>
    </row>
    <row r="14" spans="1:19" ht="30" customHeight="1" x14ac:dyDescent="0.25">
      <c r="A14" s="10">
        <v>8</v>
      </c>
      <c r="B14" s="1" t="s">
        <v>23</v>
      </c>
      <c r="C14" s="8">
        <v>4</v>
      </c>
      <c r="D14" s="10" t="s">
        <v>24</v>
      </c>
      <c r="E14" s="10">
        <f>MAX(F13)+1</f>
        <v>13</v>
      </c>
      <c r="F14" s="10">
        <f t="shared" si="0"/>
        <v>16</v>
      </c>
      <c r="G14" s="1" t="s">
        <v>25</v>
      </c>
      <c r="H14" s="11">
        <f t="shared" si="1"/>
        <v>0</v>
      </c>
      <c r="I14" s="11">
        <f t="shared" si="1"/>
        <v>0</v>
      </c>
      <c r="J14" s="11">
        <f t="shared" si="1"/>
        <v>1</v>
      </c>
      <c r="K14" s="11">
        <f t="shared" si="1"/>
        <v>1</v>
      </c>
      <c r="L14" s="11">
        <f t="shared" si="1"/>
        <v>0</v>
      </c>
      <c r="M14" s="11">
        <f t="shared" si="1"/>
        <v>0</v>
      </c>
      <c r="N14" s="11">
        <f t="shared" si="1"/>
        <v>0</v>
      </c>
      <c r="O14" s="11">
        <f t="shared" si="1"/>
        <v>0</v>
      </c>
      <c r="P14" s="11">
        <f t="shared" si="1"/>
        <v>0</v>
      </c>
      <c r="Q14" s="11">
        <f t="shared" si="1"/>
        <v>0</v>
      </c>
      <c r="R14" s="11">
        <f t="shared" si="1"/>
        <v>0</v>
      </c>
      <c r="S14" s="11">
        <f t="shared" si="1"/>
        <v>0</v>
      </c>
    </row>
    <row r="15" spans="1:19" ht="30" customHeight="1" x14ac:dyDescent="0.25">
      <c r="A15" s="6">
        <v>9</v>
      </c>
      <c r="B15" s="7" t="s">
        <v>26</v>
      </c>
      <c r="C15" s="8">
        <v>3</v>
      </c>
      <c r="D15" s="6" t="s">
        <v>27</v>
      </c>
      <c r="E15" s="6">
        <f>MAX(F14)+1</f>
        <v>17</v>
      </c>
      <c r="F15" s="6">
        <f t="shared" si="0"/>
        <v>19</v>
      </c>
      <c r="G15" s="7" t="s">
        <v>28</v>
      </c>
      <c r="H15" s="9">
        <f t="shared" si="1"/>
        <v>0</v>
      </c>
      <c r="I15" s="9">
        <f t="shared" si="1"/>
        <v>0</v>
      </c>
      <c r="J15" s="9">
        <f t="shared" si="1"/>
        <v>0</v>
      </c>
      <c r="K15" s="9">
        <f t="shared" si="1"/>
        <v>1</v>
      </c>
      <c r="L15" s="9">
        <f t="shared" si="1"/>
        <v>0</v>
      </c>
      <c r="M15" s="9">
        <f t="shared" si="1"/>
        <v>0</v>
      </c>
      <c r="N15" s="9">
        <f t="shared" si="1"/>
        <v>0</v>
      </c>
      <c r="O15" s="9">
        <f t="shared" si="1"/>
        <v>0</v>
      </c>
      <c r="P15" s="9">
        <f t="shared" si="1"/>
        <v>0</v>
      </c>
      <c r="Q15" s="9">
        <f t="shared" si="1"/>
        <v>0</v>
      </c>
      <c r="R15" s="9">
        <f t="shared" si="1"/>
        <v>0</v>
      </c>
      <c r="S15" s="9">
        <f t="shared" si="1"/>
        <v>0</v>
      </c>
    </row>
    <row r="16" spans="1:19" ht="30" customHeight="1" x14ac:dyDescent="0.25">
      <c r="A16" s="10">
        <v>10</v>
      </c>
      <c r="B16" s="1" t="s">
        <v>29</v>
      </c>
      <c r="C16" s="8">
        <v>5</v>
      </c>
      <c r="D16" s="10" t="s">
        <v>30</v>
      </c>
      <c r="E16" s="10">
        <f>MAX(F15)+1</f>
        <v>20</v>
      </c>
      <c r="F16" s="10">
        <f t="shared" si="0"/>
        <v>24</v>
      </c>
      <c r="G16" s="14" t="s">
        <v>75</v>
      </c>
      <c r="H16" s="11">
        <f t="shared" si="1"/>
        <v>0</v>
      </c>
      <c r="I16" s="11">
        <f t="shared" si="1"/>
        <v>0</v>
      </c>
      <c r="J16" s="11">
        <f t="shared" si="1"/>
        <v>0</v>
      </c>
      <c r="K16" s="11">
        <f t="shared" si="1"/>
        <v>1</v>
      </c>
      <c r="L16" s="11">
        <f t="shared" si="1"/>
        <v>1</v>
      </c>
      <c r="M16" s="11">
        <f t="shared" si="1"/>
        <v>0</v>
      </c>
      <c r="N16" s="11">
        <f t="shared" si="1"/>
        <v>0</v>
      </c>
      <c r="O16" s="11">
        <f t="shared" si="1"/>
        <v>0</v>
      </c>
      <c r="P16" s="11">
        <f t="shared" si="1"/>
        <v>0</v>
      </c>
      <c r="Q16" s="11">
        <f t="shared" si="1"/>
        <v>0</v>
      </c>
      <c r="R16" s="11">
        <f t="shared" si="1"/>
        <v>0</v>
      </c>
      <c r="S16" s="11">
        <f t="shared" si="1"/>
        <v>0</v>
      </c>
    </row>
    <row r="17" spans="1:19" ht="30" customHeight="1" x14ac:dyDescent="0.25">
      <c r="A17" s="6">
        <v>11</v>
      </c>
      <c r="B17" s="7" t="s">
        <v>31</v>
      </c>
      <c r="C17" s="8">
        <v>5</v>
      </c>
      <c r="D17" s="6" t="s">
        <v>24</v>
      </c>
      <c r="E17" s="6">
        <f>MAX(F13)+1</f>
        <v>13</v>
      </c>
      <c r="F17" s="6">
        <f t="shared" si="0"/>
        <v>17</v>
      </c>
      <c r="G17" s="7" t="s">
        <v>32</v>
      </c>
      <c r="H17" s="9">
        <f t="shared" si="1"/>
        <v>0</v>
      </c>
      <c r="I17" s="9">
        <f t="shared" si="1"/>
        <v>0</v>
      </c>
      <c r="J17" s="9">
        <f t="shared" si="1"/>
        <v>1</v>
      </c>
      <c r="K17" s="9">
        <f t="shared" si="1"/>
        <v>1</v>
      </c>
      <c r="L17" s="9">
        <f t="shared" si="1"/>
        <v>0</v>
      </c>
      <c r="M17" s="9">
        <f t="shared" si="1"/>
        <v>0</v>
      </c>
      <c r="N17" s="9">
        <f t="shared" si="1"/>
        <v>0</v>
      </c>
      <c r="O17" s="9">
        <f t="shared" si="1"/>
        <v>0</v>
      </c>
      <c r="P17" s="9">
        <f t="shared" si="1"/>
        <v>0</v>
      </c>
      <c r="Q17" s="9">
        <f t="shared" si="1"/>
        <v>0</v>
      </c>
      <c r="R17" s="9">
        <f t="shared" si="1"/>
        <v>0</v>
      </c>
      <c r="S17" s="9">
        <f t="shared" si="1"/>
        <v>0</v>
      </c>
    </row>
    <row r="18" spans="1:19" ht="30" customHeight="1" x14ac:dyDescent="0.25">
      <c r="A18" s="10">
        <v>12</v>
      </c>
      <c r="B18" s="1" t="s">
        <v>33</v>
      </c>
      <c r="C18" s="8">
        <v>4</v>
      </c>
      <c r="D18" s="10" t="s">
        <v>34</v>
      </c>
      <c r="E18" s="10">
        <f>MAX(F17)+1</f>
        <v>18</v>
      </c>
      <c r="F18" s="10">
        <f t="shared" si="0"/>
        <v>21</v>
      </c>
      <c r="G18" s="1" t="s">
        <v>35</v>
      </c>
      <c r="H18" s="11">
        <f t="shared" si="1"/>
        <v>0</v>
      </c>
      <c r="I18" s="11">
        <f t="shared" si="1"/>
        <v>0</v>
      </c>
      <c r="J18" s="11">
        <f t="shared" si="1"/>
        <v>0</v>
      </c>
      <c r="K18" s="11">
        <f t="shared" si="1"/>
        <v>1</v>
      </c>
      <c r="L18" s="11">
        <f t="shared" si="1"/>
        <v>1</v>
      </c>
      <c r="M18" s="11">
        <f t="shared" si="1"/>
        <v>0</v>
      </c>
      <c r="N18" s="11">
        <f t="shared" si="1"/>
        <v>0</v>
      </c>
      <c r="O18" s="11">
        <f t="shared" si="1"/>
        <v>0</v>
      </c>
      <c r="P18" s="11">
        <f t="shared" si="1"/>
        <v>0</v>
      </c>
      <c r="Q18" s="11">
        <f t="shared" si="1"/>
        <v>0</v>
      </c>
      <c r="R18" s="11">
        <f t="shared" si="1"/>
        <v>0</v>
      </c>
      <c r="S18" s="11">
        <f t="shared" si="1"/>
        <v>0</v>
      </c>
    </row>
    <row r="19" spans="1:19" ht="30" customHeight="1" x14ac:dyDescent="0.25">
      <c r="A19" s="6">
        <v>13</v>
      </c>
      <c r="B19" s="7" t="s">
        <v>36</v>
      </c>
      <c r="C19" s="8">
        <v>3</v>
      </c>
      <c r="D19" s="6" t="s">
        <v>37</v>
      </c>
      <c r="E19" s="6">
        <f>MAX(F18)+1</f>
        <v>22</v>
      </c>
      <c r="F19" s="6">
        <f t="shared" si="0"/>
        <v>24</v>
      </c>
      <c r="G19" s="7" t="s">
        <v>38</v>
      </c>
      <c r="H19" s="9">
        <f t="shared" si="1"/>
        <v>0</v>
      </c>
      <c r="I19" s="9">
        <f t="shared" si="1"/>
        <v>0</v>
      </c>
      <c r="J19" s="9">
        <f t="shared" si="1"/>
        <v>0</v>
      </c>
      <c r="K19" s="9">
        <f t="shared" si="1"/>
        <v>0</v>
      </c>
      <c r="L19" s="9">
        <f t="shared" si="1"/>
        <v>1</v>
      </c>
      <c r="M19" s="9">
        <f t="shared" si="1"/>
        <v>0</v>
      </c>
      <c r="N19" s="9">
        <f t="shared" si="1"/>
        <v>0</v>
      </c>
      <c r="O19" s="9">
        <f t="shared" si="1"/>
        <v>0</v>
      </c>
      <c r="P19" s="9">
        <f t="shared" si="1"/>
        <v>0</v>
      </c>
      <c r="Q19" s="9">
        <f t="shared" si="1"/>
        <v>0</v>
      </c>
      <c r="R19" s="9">
        <f t="shared" si="1"/>
        <v>0</v>
      </c>
      <c r="S19" s="9">
        <f t="shared" si="1"/>
        <v>0</v>
      </c>
    </row>
    <row r="20" spans="1:19" ht="30" customHeight="1" x14ac:dyDescent="0.25">
      <c r="A20" s="10">
        <v>14</v>
      </c>
      <c r="B20" s="1" t="s">
        <v>39</v>
      </c>
      <c r="C20" s="8">
        <v>3</v>
      </c>
      <c r="D20" s="10" t="s">
        <v>40</v>
      </c>
      <c r="E20" s="10">
        <f>MAX(F14,F19)+1</f>
        <v>25</v>
      </c>
      <c r="F20" s="10">
        <f t="shared" si="0"/>
        <v>27</v>
      </c>
      <c r="G20" s="1" t="s">
        <v>41</v>
      </c>
      <c r="H20" s="11">
        <f t="shared" si="1"/>
        <v>0</v>
      </c>
      <c r="I20" s="11">
        <f t="shared" si="1"/>
        <v>0</v>
      </c>
      <c r="J20" s="11">
        <f t="shared" si="1"/>
        <v>0</v>
      </c>
      <c r="K20" s="11">
        <f t="shared" si="1"/>
        <v>0</v>
      </c>
      <c r="L20" s="11">
        <f t="shared" si="1"/>
        <v>1</v>
      </c>
      <c r="M20" s="11">
        <f t="shared" si="1"/>
        <v>1</v>
      </c>
      <c r="N20" s="11">
        <f t="shared" si="1"/>
        <v>0</v>
      </c>
      <c r="O20" s="11">
        <f t="shared" si="1"/>
        <v>0</v>
      </c>
      <c r="P20" s="11">
        <f t="shared" si="1"/>
        <v>0</v>
      </c>
      <c r="Q20" s="11">
        <f t="shared" si="1"/>
        <v>0</v>
      </c>
      <c r="R20" s="11">
        <f t="shared" si="1"/>
        <v>0</v>
      </c>
      <c r="S20" s="11">
        <f t="shared" si="1"/>
        <v>0</v>
      </c>
    </row>
    <row r="21" spans="1:19" ht="30" customHeight="1" x14ac:dyDescent="0.25">
      <c r="A21" s="6">
        <v>15</v>
      </c>
      <c r="B21" s="7" t="s">
        <v>42</v>
      </c>
      <c r="C21" s="8">
        <v>3</v>
      </c>
      <c r="D21" s="6" t="s">
        <v>43</v>
      </c>
      <c r="E21" s="6">
        <f>MAX(F19,F15)+1</f>
        <v>25</v>
      </c>
      <c r="F21" s="6">
        <f t="shared" si="0"/>
        <v>27</v>
      </c>
      <c r="G21" s="7" t="s">
        <v>44</v>
      </c>
      <c r="H21" s="9">
        <f t="shared" si="1"/>
        <v>0</v>
      </c>
      <c r="I21" s="9">
        <f t="shared" si="1"/>
        <v>0</v>
      </c>
      <c r="J21" s="9">
        <f t="shared" si="1"/>
        <v>0</v>
      </c>
      <c r="K21" s="9">
        <f t="shared" si="1"/>
        <v>0</v>
      </c>
      <c r="L21" s="9">
        <f t="shared" si="1"/>
        <v>1</v>
      </c>
      <c r="M21" s="9">
        <f t="shared" si="1"/>
        <v>1</v>
      </c>
      <c r="N21" s="9">
        <f t="shared" si="1"/>
        <v>0</v>
      </c>
      <c r="O21" s="9">
        <f t="shared" si="1"/>
        <v>0</v>
      </c>
      <c r="P21" s="9">
        <f t="shared" si="1"/>
        <v>0</v>
      </c>
      <c r="Q21" s="9">
        <f t="shared" si="1"/>
        <v>0</v>
      </c>
      <c r="R21" s="9">
        <f t="shared" si="1"/>
        <v>0</v>
      </c>
      <c r="S21" s="9">
        <f t="shared" si="1"/>
        <v>0</v>
      </c>
    </row>
    <row r="22" spans="1:19" ht="30" customHeight="1" x14ac:dyDescent="0.25">
      <c r="A22" s="10">
        <v>16</v>
      </c>
      <c r="B22" s="1" t="s">
        <v>45</v>
      </c>
      <c r="C22" s="8">
        <v>4</v>
      </c>
      <c r="D22" s="10" t="s">
        <v>46</v>
      </c>
      <c r="E22" s="10">
        <f>MAX(F20,F21)+1</f>
        <v>28</v>
      </c>
      <c r="F22" s="10">
        <f t="shared" si="0"/>
        <v>31</v>
      </c>
      <c r="G22" s="1" t="s">
        <v>47</v>
      </c>
      <c r="H22" s="11">
        <f t="shared" si="1"/>
        <v>0</v>
      </c>
      <c r="I22" s="11">
        <f t="shared" si="1"/>
        <v>0</v>
      </c>
      <c r="J22" s="11">
        <f t="shared" si="1"/>
        <v>0</v>
      </c>
      <c r="K22" s="11">
        <f t="shared" si="1"/>
        <v>0</v>
      </c>
      <c r="L22" s="11">
        <f t="shared" si="1"/>
        <v>0</v>
      </c>
      <c r="M22" s="11">
        <f t="shared" si="1"/>
        <v>1</v>
      </c>
      <c r="N22" s="11">
        <f t="shared" si="1"/>
        <v>1</v>
      </c>
      <c r="O22" s="11">
        <f t="shared" si="1"/>
        <v>0</v>
      </c>
      <c r="P22" s="11">
        <f t="shared" si="1"/>
        <v>0</v>
      </c>
      <c r="Q22" s="11">
        <f t="shared" si="1"/>
        <v>0</v>
      </c>
      <c r="R22" s="11">
        <f t="shared" si="1"/>
        <v>0</v>
      </c>
      <c r="S22" s="11">
        <f t="shared" si="1"/>
        <v>0</v>
      </c>
    </row>
    <row r="23" spans="1:19" ht="30" customHeight="1" x14ac:dyDescent="0.25">
      <c r="A23" s="6">
        <v>17</v>
      </c>
      <c r="B23" s="7" t="s">
        <v>48</v>
      </c>
      <c r="C23" s="8">
        <v>4</v>
      </c>
      <c r="D23" s="6" t="s">
        <v>49</v>
      </c>
      <c r="E23" s="6">
        <f>MAX(F20,F22,F15)+1</f>
        <v>32</v>
      </c>
      <c r="F23" s="6">
        <f t="shared" si="0"/>
        <v>35</v>
      </c>
      <c r="G23" s="13" t="s">
        <v>76</v>
      </c>
      <c r="H23" s="9">
        <f t="shared" ref="H23:S36" si="2">IF(AND($E23&lt;=H$6*5,$F23&gt;(H$6-1)*5),1,0)</f>
        <v>0</v>
      </c>
      <c r="I23" s="9">
        <f t="shared" si="2"/>
        <v>0</v>
      </c>
      <c r="J23" s="9">
        <f t="shared" si="2"/>
        <v>0</v>
      </c>
      <c r="K23" s="9">
        <f t="shared" si="2"/>
        <v>0</v>
      </c>
      <c r="L23" s="9">
        <f t="shared" si="2"/>
        <v>0</v>
      </c>
      <c r="M23" s="9">
        <f t="shared" si="2"/>
        <v>0</v>
      </c>
      <c r="N23" s="9">
        <f t="shared" si="2"/>
        <v>1</v>
      </c>
      <c r="O23" s="9">
        <f t="shared" si="2"/>
        <v>0</v>
      </c>
      <c r="P23" s="9">
        <f t="shared" si="2"/>
        <v>0</v>
      </c>
      <c r="Q23" s="9">
        <f t="shared" si="2"/>
        <v>0</v>
      </c>
      <c r="R23" s="9">
        <f t="shared" si="2"/>
        <v>0</v>
      </c>
      <c r="S23" s="9">
        <f t="shared" si="2"/>
        <v>0</v>
      </c>
    </row>
    <row r="24" spans="1:19" ht="30" customHeight="1" x14ac:dyDescent="0.25">
      <c r="A24" s="10">
        <v>18</v>
      </c>
      <c r="B24" s="1" t="s">
        <v>50</v>
      </c>
      <c r="C24" s="8">
        <v>4</v>
      </c>
      <c r="D24" s="10" t="s">
        <v>51</v>
      </c>
      <c r="E24" s="10">
        <f>MAX(F15,F19)+1</f>
        <v>25</v>
      </c>
      <c r="F24" s="10">
        <f t="shared" si="0"/>
        <v>28</v>
      </c>
      <c r="G24" s="1" t="s">
        <v>52</v>
      </c>
      <c r="H24" s="11">
        <f t="shared" si="2"/>
        <v>0</v>
      </c>
      <c r="I24" s="11">
        <f t="shared" si="2"/>
        <v>0</v>
      </c>
      <c r="J24" s="11">
        <f t="shared" si="2"/>
        <v>0</v>
      </c>
      <c r="K24" s="11">
        <f t="shared" si="2"/>
        <v>0</v>
      </c>
      <c r="L24" s="11">
        <f t="shared" si="2"/>
        <v>1</v>
      </c>
      <c r="M24" s="11">
        <f t="shared" si="2"/>
        <v>1</v>
      </c>
      <c r="N24" s="11">
        <f t="shared" si="2"/>
        <v>0</v>
      </c>
      <c r="O24" s="11">
        <f t="shared" si="2"/>
        <v>0</v>
      </c>
      <c r="P24" s="11">
        <f t="shared" si="2"/>
        <v>0</v>
      </c>
      <c r="Q24" s="11">
        <f t="shared" si="2"/>
        <v>0</v>
      </c>
      <c r="R24" s="11">
        <f t="shared" si="2"/>
        <v>0</v>
      </c>
      <c r="S24" s="11">
        <f t="shared" si="2"/>
        <v>0</v>
      </c>
    </row>
    <row r="25" spans="1:19" ht="30" customHeight="1" x14ac:dyDescent="0.25">
      <c r="A25" s="6">
        <v>19</v>
      </c>
      <c r="B25" s="7" t="s">
        <v>53</v>
      </c>
      <c r="C25" s="8">
        <v>5</v>
      </c>
      <c r="D25" s="6" t="s">
        <v>54</v>
      </c>
      <c r="E25" s="6">
        <f>MAX(F16,F17)+1</f>
        <v>25</v>
      </c>
      <c r="F25" s="6">
        <f t="shared" si="0"/>
        <v>29</v>
      </c>
      <c r="G25" s="13" t="s">
        <v>77</v>
      </c>
      <c r="H25" s="9">
        <f t="shared" si="2"/>
        <v>0</v>
      </c>
      <c r="I25" s="9">
        <f t="shared" si="2"/>
        <v>0</v>
      </c>
      <c r="J25" s="9">
        <f t="shared" si="2"/>
        <v>0</v>
      </c>
      <c r="K25" s="9">
        <f t="shared" si="2"/>
        <v>0</v>
      </c>
      <c r="L25" s="9">
        <f t="shared" si="2"/>
        <v>1</v>
      </c>
      <c r="M25" s="9">
        <f t="shared" si="2"/>
        <v>1</v>
      </c>
      <c r="N25" s="9">
        <f t="shared" si="2"/>
        <v>0</v>
      </c>
      <c r="O25" s="9">
        <f t="shared" si="2"/>
        <v>0</v>
      </c>
      <c r="P25" s="9">
        <f t="shared" si="2"/>
        <v>0</v>
      </c>
      <c r="Q25" s="9">
        <f t="shared" si="2"/>
        <v>0</v>
      </c>
      <c r="R25" s="9">
        <f t="shared" si="2"/>
        <v>0</v>
      </c>
      <c r="S25" s="9">
        <f t="shared" si="2"/>
        <v>0</v>
      </c>
    </row>
    <row r="26" spans="1:19" ht="30" customHeight="1" x14ac:dyDescent="0.25">
      <c r="A26" s="10">
        <v>20</v>
      </c>
      <c r="B26" s="1" t="s">
        <v>55</v>
      </c>
      <c r="C26" s="8">
        <v>4</v>
      </c>
      <c r="D26" s="10" t="s">
        <v>56</v>
      </c>
      <c r="E26" s="10">
        <f>MAX(F23,F24,F25)+1</f>
        <v>36</v>
      </c>
      <c r="F26" s="10">
        <f t="shared" si="0"/>
        <v>39</v>
      </c>
      <c r="G26" s="14" t="s">
        <v>78</v>
      </c>
      <c r="H26" s="11">
        <f t="shared" si="2"/>
        <v>0</v>
      </c>
      <c r="I26" s="11">
        <f t="shared" si="2"/>
        <v>0</v>
      </c>
      <c r="J26" s="11">
        <f t="shared" si="2"/>
        <v>0</v>
      </c>
      <c r="K26" s="11">
        <f t="shared" si="2"/>
        <v>0</v>
      </c>
      <c r="L26" s="11">
        <f t="shared" si="2"/>
        <v>0</v>
      </c>
      <c r="M26" s="11">
        <f t="shared" si="2"/>
        <v>0</v>
      </c>
      <c r="N26" s="11">
        <f t="shared" si="2"/>
        <v>0</v>
      </c>
      <c r="O26" s="11">
        <f t="shared" si="2"/>
        <v>1</v>
      </c>
      <c r="P26" s="11">
        <f t="shared" si="2"/>
        <v>0</v>
      </c>
      <c r="Q26" s="11">
        <f t="shared" si="2"/>
        <v>0</v>
      </c>
      <c r="R26" s="11">
        <f t="shared" si="2"/>
        <v>0</v>
      </c>
      <c r="S26" s="11">
        <f t="shared" si="2"/>
        <v>0</v>
      </c>
    </row>
    <row r="27" spans="1:19" ht="30" customHeight="1" x14ac:dyDescent="0.25">
      <c r="A27" s="6">
        <v>21</v>
      </c>
      <c r="B27" s="7" t="s">
        <v>57</v>
      </c>
      <c r="C27" s="8">
        <v>5</v>
      </c>
      <c r="D27" s="6" t="s">
        <v>58</v>
      </c>
      <c r="E27" s="6">
        <f>MAX(F26)+1</f>
        <v>40</v>
      </c>
      <c r="F27" s="6">
        <f t="shared" si="0"/>
        <v>44</v>
      </c>
      <c r="G27" s="13" t="s">
        <v>79</v>
      </c>
      <c r="H27" s="9">
        <f t="shared" si="2"/>
        <v>0</v>
      </c>
      <c r="I27" s="9">
        <f t="shared" si="2"/>
        <v>0</v>
      </c>
      <c r="J27" s="9">
        <f t="shared" si="2"/>
        <v>0</v>
      </c>
      <c r="K27" s="9">
        <f t="shared" si="2"/>
        <v>0</v>
      </c>
      <c r="L27" s="9">
        <f t="shared" si="2"/>
        <v>0</v>
      </c>
      <c r="M27" s="9">
        <f t="shared" si="2"/>
        <v>0</v>
      </c>
      <c r="N27" s="9">
        <f t="shared" si="2"/>
        <v>0</v>
      </c>
      <c r="O27" s="9">
        <f t="shared" si="2"/>
        <v>1</v>
      </c>
      <c r="P27" s="9">
        <f t="shared" si="2"/>
        <v>1</v>
      </c>
      <c r="Q27" s="9">
        <f t="shared" si="2"/>
        <v>0</v>
      </c>
      <c r="R27" s="9">
        <f t="shared" si="2"/>
        <v>0</v>
      </c>
      <c r="S27" s="9">
        <f t="shared" si="2"/>
        <v>0</v>
      </c>
    </row>
    <row r="28" spans="1:19" ht="30" customHeight="1" x14ac:dyDescent="0.25">
      <c r="A28" s="10">
        <v>22</v>
      </c>
      <c r="B28" s="1" t="s">
        <v>59</v>
      </c>
      <c r="C28" s="8">
        <v>5</v>
      </c>
      <c r="D28" s="10" t="s">
        <v>60</v>
      </c>
      <c r="E28" s="10">
        <f>MAX(F27)+1</f>
        <v>45</v>
      </c>
      <c r="F28" s="10">
        <f t="shared" si="0"/>
        <v>49</v>
      </c>
      <c r="G28" s="14" t="s">
        <v>80</v>
      </c>
      <c r="H28" s="11">
        <f t="shared" si="2"/>
        <v>0</v>
      </c>
      <c r="I28" s="11">
        <f t="shared" si="2"/>
        <v>0</v>
      </c>
      <c r="J28" s="11">
        <f t="shared" si="2"/>
        <v>0</v>
      </c>
      <c r="K28" s="11">
        <f t="shared" si="2"/>
        <v>0</v>
      </c>
      <c r="L28" s="11">
        <f t="shared" si="2"/>
        <v>0</v>
      </c>
      <c r="M28" s="11">
        <f t="shared" si="2"/>
        <v>0</v>
      </c>
      <c r="N28" s="11">
        <f t="shared" si="2"/>
        <v>0</v>
      </c>
      <c r="O28" s="11">
        <f t="shared" si="2"/>
        <v>0</v>
      </c>
      <c r="P28" s="11">
        <f t="shared" si="2"/>
        <v>1</v>
      </c>
      <c r="Q28" s="11">
        <f t="shared" si="2"/>
        <v>1</v>
      </c>
      <c r="R28" s="11">
        <f t="shared" si="2"/>
        <v>0</v>
      </c>
      <c r="S28" s="11">
        <f t="shared" si="2"/>
        <v>0</v>
      </c>
    </row>
    <row r="29" spans="1:19" ht="30" customHeight="1" x14ac:dyDescent="0.25">
      <c r="A29" s="6">
        <v>23</v>
      </c>
      <c r="B29" s="7" t="s">
        <v>61</v>
      </c>
      <c r="C29" s="8">
        <v>4</v>
      </c>
      <c r="D29" s="6" t="s">
        <v>62</v>
      </c>
      <c r="E29" s="6">
        <f>MAX(F28)+1</f>
        <v>50</v>
      </c>
      <c r="F29" s="6">
        <f t="shared" si="0"/>
        <v>53</v>
      </c>
      <c r="G29" s="13" t="s">
        <v>81</v>
      </c>
      <c r="H29" s="9">
        <f t="shared" si="2"/>
        <v>0</v>
      </c>
      <c r="I29" s="9">
        <f t="shared" si="2"/>
        <v>0</v>
      </c>
      <c r="J29" s="9">
        <f t="shared" si="2"/>
        <v>0</v>
      </c>
      <c r="K29" s="9">
        <f t="shared" si="2"/>
        <v>0</v>
      </c>
      <c r="L29" s="9">
        <f t="shared" si="2"/>
        <v>0</v>
      </c>
      <c r="M29" s="9">
        <f t="shared" si="2"/>
        <v>0</v>
      </c>
      <c r="N29" s="9">
        <f t="shared" si="2"/>
        <v>0</v>
      </c>
      <c r="O29" s="9">
        <f t="shared" si="2"/>
        <v>0</v>
      </c>
      <c r="P29" s="9">
        <f t="shared" si="2"/>
        <v>0</v>
      </c>
      <c r="Q29" s="9">
        <f t="shared" si="2"/>
        <v>1</v>
      </c>
      <c r="R29" s="9">
        <f t="shared" si="2"/>
        <v>1</v>
      </c>
      <c r="S29" s="9">
        <f t="shared" si="2"/>
        <v>0</v>
      </c>
    </row>
    <row r="30" spans="1:19" ht="30" customHeight="1" x14ac:dyDescent="0.25">
      <c r="A30" s="10">
        <v>24</v>
      </c>
      <c r="B30" s="1" t="s">
        <v>63</v>
      </c>
      <c r="C30" s="8">
        <v>3</v>
      </c>
      <c r="D30" s="10" t="s">
        <v>64</v>
      </c>
      <c r="E30" s="10">
        <f>MAX(F29)+1</f>
        <v>54</v>
      </c>
      <c r="F30" s="10">
        <f t="shared" si="0"/>
        <v>56</v>
      </c>
      <c r="G30" s="14" t="s">
        <v>82</v>
      </c>
      <c r="H30" s="11">
        <f t="shared" si="2"/>
        <v>0</v>
      </c>
      <c r="I30" s="11">
        <f t="shared" si="2"/>
        <v>0</v>
      </c>
      <c r="J30" s="11">
        <f t="shared" si="2"/>
        <v>0</v>
      </c>
      <c r="K30" s="11">
        <f t="shared" si="2"/>
        <v>0</v>
      </c>
      <c r="L30" s="11">
        <f t="shared" si="2"/>
        <v>0</v>
      </c>
      <c r="M30" s="11">
        <f t="shared" si="2"/>
        <v>0</v>
      </c>
      <c r="N30" s="11">
        <f t="shared" si="2"/>
        <v>0</v>
      </c>
      <c r="O30" s="11">
        <f t="shared" si="2"/>
        <v>0</v>
      </c>
      <c r="P30" s="11">
        <f t="shared" si="2"/>
        <v>0</v>
      </c>
      <c r="Q30" s="11">
        <f t="shared" si="2"/>
        <v>0</v>
      </c>
      <c r="R30" s="11">
        <f t="shared" si="2"/>
        <v>1</v>
      </c>
      <c r="S30" s="11">
        <f t="shared" si="2"/>
        <v>1</v>
      </c>
    </row>
    <row r="31" spans="1:19" ht="30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30" customHeight="1" x14ac:dyDescent="0.25">
      <c r="A32" t="s">
        <v>65</v>
      </c>
      <c r="C32">
        <f>MAX(F7:F30)</f>
        <v>56</v>
      </c>
    </row>
    <row r="33" spans="1:3" ht="30" customHeight="1" x14ac:dyDescent="0.25">
      <c r="A33" t="s">
        <v>66</v>
      </c>
      <c r="C33">
        <f>SUM(C7:C30)</f>
        <v>88</v>
      </c>
    </row>
    <row r="36" spans="1:3" x14ac:dyDescent="0.25">
      <c r="A36" s="12" t="s">
        <v>67</v>
      </c>
    </row>
    <row r="37" spans="1:3" x14ac:dyDescent="0.25">
      <c r="A37" s="12" t="s">
        <v>69</v>
      </c>
    </row>
    <row r="38" spans="1:3" x14ac:dyDescent="0.25">
      <c r="A38" s="12" t="s">
        <v>68</v>
      </c>
    </row>
    <row r="39" spans="1:3" x14ac:dyDescent="0.25">
      <c r="A39" s="12" t="s">
        <v>70</v>
      </c>
    </row>
  </sheetData>
  <conditionalFormatting sqref="H7:S30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D4D10-1F0E-4899-8D1C-5B3052805F29}">
  <dimension ref="A1:C57"/>
  <sheetViews>
    <sheetView topLeftCell="A37" workbookViewId="0">
      <selection activeCell="B6" sqref="B6"/>
    </sheetView>
  </sheetViews>
  <sheetFormatPr defaultRowHeight="15" x14ac:dyDescent="0.25"/>
  <cols>
    <col min="1" max="1" width="8.28515625" customWidth="1"/>
    <col min="2" max="2" width="41.85546875" customWidth="1"/>
    <col min="3" max="3" width="120" customWidth="1"/>
  </cols>
  <sheetData>
    <row r="1" spans="1:3" x14ac:dyDescent="0.25">
      <c r="A1" s="14"/>
      <c r="B1" s="14"/>
      <c r="C1" s="14"/>
    </row>
    <row r="2" spans="1:3" ht="21.75" x14ac:dyDescent="0.3">
      <c r="A2" s="15" t="s">
        <v>83</v>
      </c>
      <c r="B2" s="14"/>
      <c r="C2" s="14"/>
    </row>
    <row r="3" spans="1:3" x14ac:dyDescent="0.25">
      <c r="A3" s="14"/>
      <c r="B3" s="14"/>
      <c r="C3" s="14"/>
    </row>
    <row r="4" spans="1:3" ht="27.95" customHeight="1" x14ac:dyDescent="0.25">
      <c r="A4" s="16" t="s">
        <v>84</v>
      </c>
      <c r="B4" s="16" t="s">
        <v>8</v>
      </c>
      <c r="C4" s="16" t="s">
        <v>85</v>
      </c>
    </row>
    <row r="5" spans="1:3" ht="30" customHeight="1" x14ac:dyDescent="0.25">
      <c r="A5" s="17">
        <v>1</v>
      </c>
      <c r="B5" s="18" t="s">
        <v>11</v>
      </c>
      <c r="C5" s="18" t="s">
        <v>86</v>
      </c>
    </row>
    <row r="6" spans="1:3" ht="30" customHeight="1" x14ac:dyDescent="0.25">
      <c r="A6" s="17">
        <v>2</v>
      </c>
      <c r="B6" s="18" t="s">
        <v>14</v>
      </c>
      <c r="C6" s="18" t="s">
        <v>87</v>
      </c>
    </row>
    <row r="7" spans="1:3" ht="30" customHeight="1" x14ac:dyDescent="0.25">
      <c r="A7" s="17">
        <v>3</v>
      </c>
      <c r="B7" s="18" t="s">
        <v>71</v>
      </c>
      <c r="C7" s="18" t="s">
        <v>88</v>
      </c>
    </row>
    <row r="8" spans="1:3" ht="30" customHeight="1" x14ac:dyDescent="0.25">
      <c r="A8" s="17">
        <v>4</v>
      </c>
      <c r="B8" s="18" t="s">
        <v>72</v>
      </c>
      <c r="C8" s="18" t="s">
        <v>89</v>
      </c>
    </row>
    <row r="9" spans="1:3" ht="30" customHeight="1" x14ac:dyDescent="0.25">
      <c r="A9" s="17">
        <v>5</v>
      </c>
      <c r="B9" s="18" t="s">
        <v>73</v>
      </c>
      <c r="C9" s="18" t="s">
        <v>90</v>
      </c>
    </row>
    <row r="10" spans="1:3" ht="30" customHeight="1" x14ac:dyDescent="0.25">
      <c r="A10" s="17">
        <v>6</v>
      </c>
      <c r="B10" s="18" t="s">
        <v>14</v>
      </c>
      <c r="C10" s="18" t="s">
        <v>91</v>
      </c>
    </row>
    <row r="11" spans="1:3" ht="30" customHeight="1" x14ac:dyDescent="0.25">
      <c r="A11" s="17">
        <v>7</v>
      </c>
      <c r="B11" s="18" t="s">
        <v>74</v>
      </c>
      <c r="C11" s="18" t="s">
        <v>92</v>
      </c>
    </row>
    <row r="12" spans="1:3" ht="30" customHeight="1" x14ac:dyDescent="0.25">
      <c r="A12" s="17">
        <v>8</v>
      </c>
      <c r="B12" s="18" t="s">
        <v>25</v>
      </c>
      <c r="C12" s="18" t="s">
        <v>93</v>
      </c>
    </row>
    <row r="13" spans="1:3" ht="30" customHeight="1" x14ac:dyDescent="0.25">
      <c r="A13" s="17">
        <v>9</v>
      </c>
      <c r="B13" s="18" t="s">
        <v>28</v>
      </c>
      <c r="C13" s="18" t="s">
        <v>94</v>
      </c>
    </row>
    <row r="14" spans="1:3" ht="30" customHeight="1" x14ac:dyDescent="0.25">
      <c r="A14" s="17">
        <v>10</v>
      </c>
      <c r="B14" s="18" t="s">
        <v>75</v>
      </c>
      <c r="C14" s="18" t="s">
        <v>95</v>
      </c>
    </row>
    <row r="15" spans="1:3" ht="30" customHeight="1" x14ac:dyDescent="0.25">
      <c r="A15" s="17">
        <v>11</v>
      </c>
      <c r="B15" s="18" t="s">
        <v>32</v>
      </c>
      <c r="C15" s="18" t="s">
        <v>96</v>
      </c>
    </row>
    <row r="16" spans="1:3" ht="30" customHeight="1" x14ac:dyDescent="0.25">
      <c r="A16" s="17">
        <v>12</v>
      </c>
      <c r="B16" s="18" t="s">
        <v>35</v>
      </c>
      <c r="C16" s="18" t="s">
        <v>97</v>
      </c>
    </row>
    <row r="17" spans="1:3" ht="30" customHeight="1" x14ac:dyDescent="0.25">
      <c r="A17" s="17">
        <v>13</v>
      </c>
      <c r="B17" s="18" t="s">
        <v>38</v>
      </c>
      <c r="C17" s="18" t="s">
        <v>98</v>
      </c>
    </row>
    <row r="18" spans="1:3" ht="30" customHeight="1" x14ac:dyDescent="0.25">
      <c r="A18" s="17">
        <v>14</v>
      </c>
      <c r="B18" s="18" t="s">
        <v>41</v>
      </c>
      <c r="C18" s="18" t="s">
        <v>99</v>
      </c>
    </row>
    <row r="19" spans="1:3" ht="30" customHeight="1" x14ac:dyDescent="0.25">
      <c r="A19" s="17">
        <v>15</v>
      </c>
      <c r="B19" s="18" t="s">
        <v>44</v>
      </c>
      <c r="C19" s="18" t="s">
        <v>100</v>
      </c>
    </row>
    <row r="20" spans="1:3" ht="30" customHeight="1" x14ac:dyDescent="0.25">
      <c r="A20" s="17">
        <v>16</v>
      </c>
      <c r="B20" s="18" t="s">
        <v>47</v>
      </c>
      <c r="C20" s="18" t="s">
        <v>101</v>
      </c>
    </row>
    <row r="21" spans="1:3" ht="30" customHeight="1" x14ac:dyDescent="0.25">
      <c r="A21" s="17">
        <v>17</v>
      </c>
      <c r="B21" s="18" t="s">
        <v>76</v>
      </c>
      <c r="C21" s="18" t="s">
        <v>102</v>
      </c>
    </row>
    <row r="22" spans="1:3" ht="30" customHeight="1" x14ac:dyDescent="0.25">
      <c r="A22" s="17">
        <v>18</v>
      </c>
      <c r="B22" s="18" t="s">
        <v>52</v>
      </c>
      <c r="C22" s="18" t="s">
        <v>103</v>
      </c>
    </row>
    <row r="23" spans="1:3" ht="30" customHeight="1" x14ac:dyDescent="0.25">
      <c r="A23" s="17">
        <v>19</v>
      </c>
      <c r="B23" s="18" t="s">
        <v>104</v>
      </c>
      <c r="C23" s="18" t="s">
        <v>105</v>
      </c>
    </row>
    <row r="24" spans="1:3" ht="30" customHeight="1" x14ac:dyDescent="0.25">
      <c r="A24" s="17">
        <v>20</v>
      </c>
      <c r="B24" s="18" t="s">
        <v>106</v>
      </c>
      <c r="C24" s="18" t="s">
        <v>107</v>
      </c>
    </row>
    <row r="25" spans="1:3" ht="30" customHeight="1" x14ac:dyDescent="0.25">
      <c r="A25" s="17">
        <v>21</v>
      </c>
      <c r="B25" s="18" t="s">
        <v>108</v>
      </c>
      <c r="C25" s="18" t="s">
        <v>109</v>
      </c>
    </row>
    <row r="26" spans="1:3" ht="30" customHeight="1" x14ac:dyDescent="0.25">
      <c r="A26" s="17">
        <v>22</v>
      </c>
      <c r="B26" s="18" t="s">
        <v>110</v>
      </c>
      <c r="C26" s="18" t="s">
        <v>111</v>
      </c>
    </row>
    <row r="27" spans="1:3" ht="30" customHeight="1" x14ac:dyDescent="0.25">
      <c r="A27" s="17">
        <v>23</v>
      </c>
      <c r="B27" s="18" t="s">
        <v>112</v>
      </c>
      <c r="C27" s="18" t="s">
        <v>113</v>
      </c>
    </row>
    <row r="28" spans="1:3" ht="30" customHeight="1" x14ac:dyDescent="0.25">
      <c r="A28" s="17">
        <v>24</v>
      </c>
      <c r="B28" s="18" t="s">
        <v>114</v>
      </c>
      <c r="C28" s="18" t="s">
        <v>115</v>
      </c>
    </row>
    <row r="29" spans="1:3" x14ac:dyDescent="0.25">
      <c r="A29" s="17"/>
      <c r="B29" s="18"/>
      <c r="C29" s="18"/>
    </row>
    <row r="30" spans="1:3" ht="35.1" customHeight="1" x14ac:dyDescent="0.25">
      <c r="A30" s="17"/>
      <c r="B30" s="18"/>
      <c r="C30" s="19" t="s">
        <v>116</v>
      </c>
    </row>
    <row r="31" spans="1:3" ht="35.1" customHeight="1" x14ac:dyDescent="0.25">
      <c r="A31" s="17"/>
      <c r="B31" s="18"/>
      <c r="C31" s="19" t="s">
        <v>117</v>
      </c>
    </row>
    <row r="32" spans="1:3" ht="35.1" customHeight="1" x14ac:dyDescent="0.25">
      <c r="A32" s="17"/>
      <c r="B32" s="18"/>
      <c r="C32" s="19" t="s">
        <v>118</v>
      </c>
    </row>
    <row r="33" spans="1:3" ht="35.1" customHeight="1" x14ac:dyDescent="0.25">
      <c r="A33" s="17"/>
      <c r="B33" s="18"/>
      <c r="C33" s="19" t="s">
        <v>119</v>
      </c>
    </row>
    <row r="34" spans="1:3" ht="35.1" customHeight="1" x14ac:dyDescent="0.25">
      <c r="A34" s="17"/>
      <c r="B34" s="18"/>
      <c r="C34" s="19" t="s">
        <v>120</v>
      </c>
    </row>
    <row r="35" spans="1:3" ht="35.1" customHeight="1" x14ac:dyDescent="0.25">
      <c r="A35" s="17"/>
      <c r="B35" s="18"/>
      <c r="C35" s="19" t="s">
        <v>121</v>
      </c>
    </row>
    <row r="36" spans="1:3" ht="35.1" customHeight="1" x14ac:dyDescent="0.25">
      <c r="A36" s="17"/>
      <c r="B36" s="18"/>
      <c r="C36" s="19" t="s">
        <v>122</v>
      </c>
    </row>
    <row r="37" spans="1:3" ht="35.1" customHeight="1" x14ac:dyDescent="0.25">
      <c r="A37" s="20"/>
      <c r="B37" s="21"/>
      <c r="C37" s="22" t="s">
        <v>123</v>
      </c>
    </row>
    <row r="38" spans="1:3" ht="35.1" customHeight="1" x14ac:dyDescent="0.25">
      <c r="A38" s="20"/>
      <c r="B38" s="21"/>
      <c r="C38" s="22" t="s">
        <v>124</v>
      </c>
    </row>
    <row r="39" spans="1:3" ht="35.1" customHeight="1" x14ac:dyDescent="0.25">
      <c r="A39" s="20"/>
      <c r="B39" s="21"/>
      <c r="C39" s="22" t="s">
        <v>125</v>
      </c>
    </row>
    <row r="40" spans="1:3" ht="35.1" customHeight="1" x14ac:dyDescent="0.25">
      <c r="A40" s="20"/>
      <c r="B40" s="21"/>
      <c r="C40" s="22" t="s">
        <v>126</v>
      </c>
    </row>
    <row r="41" spans="1:3" ht="35.1" customHeight="1" x14ac:dyDescent="0.25">
      <c r="A41" s="20"/>
      <c r="B41" s="21"/>
      <c r="C41" s="22" t="s">
        <v>127</v>
      </c>
    </row>
    <row r="42" spans="1:3" x14ac:dyDescent="0.25">
      <c r="A42" s="23"/>
    </row>
    <row r="43" spans="1:3" x14ac:dyDescent="0.25">
      <c r="A43" s="23"/>
    </row>
    <row r="44" spans="1:3" x14ac:dyDescent="0.25">
      <c r="A44" s="23"/>
    </row>
    <row r="45" spans="1:3" x14ac:dyDescent="0.25">
      <c r="A45" s="23"/>
    </row>
    <row r="46" spans="1:3" x14ac:dyDescent="0.25">
      <c r="A46" s="23"/>
    </row>
    <row r="47" spans="1:3" x14ac:dyDescent="0.25">
      <c r="A47" s="23"/>
    </row>
    <row r="48" spans="1:3" x14ac:dyDescent="0.25">
      <c r="A48" s="23"/>
    </row>
    <row r="49" spans="1:1" x14ac:dyDescent="0.25">
      <c r="A49" s="23"/>
    </row>
    <row r="50" spans="1:1" x14ac:dyDescent="0.25">
      <c r="A50" s="23"/>
    </row>
    <row r="51" spans="1:1" x14ac:dyDescent="0.25">
      <c r="A51" s="23"/>
    </row>
    <row r="52" spans="1:1" x14ac:dyDescent="0.25">
      <c r="A52" s="23"/>
    </row>
    <row r="53" spans="1:1" x14ac:dyDescent="0.25">
      <c r="A53" s="23"/>
    </row>
    <row r="54" spans="1:1" x14ac:dyDescent="0.25">
      <c r="A54" s="23"/>
    </row>
    <row r="55" spans="1:1" x14ac:dyDescent="0.25">
      <c r="A55" s="23"/>
    </row>
    <row r="56" spans="1:1" x14ac:dyDescent="0.25">
      <c r="A56" s="23"/>
    </row>
    <row r="57" spans="1:1" x14ac:dyDescent="0.25">
      <c r="A5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Gantt Chart</vt:lpstr>
      <vt:lpstr>Requirements and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Rommel Torres</dc:creator>
  <cp:lastModifiedBy>Rommel Torres</cp:lastModifiedBy>
  <dcterms:created xsi:type="dcterms:W3CDTF">2026-10-13T03:26:08Z</dcterms:created>
  <dcterms:modified xsi:type="dcterms:W3CDTF">2026-10-13T03:55:44Z</dcterms:modified>
</cp:coreProperties>
</file>